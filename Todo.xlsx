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Projet_perso\ERP\"/>
    </mc:Choice>
  </mc:AlternateContent>
  <xr:revisionPtr revIDLastSave="0" documentId="13_ncr:1_{0FE8BD08-21B1-47A6-B306-3D242569E798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groupe" sheetId="1" r:id="rId1"/>
    <sheet name="liste des taches" sheetId="2" r:id="rId2"/>
    <sheet name="Tableau croisé dynamique 2" sheetId="3" r:id="rId3"/>
    <sheet name="avancement" sheetId="4" r:id="rId4"/>
    <sheet name="detail_avancement" sheetId="5" r:id="rId5"/>
    <sheet name="recap" sheetId="6" r:id="rId6"/>
  </sheet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K2" i="2"/>
  <c r="K3" i="2"/>
  <c r="K4" i="2"/>
  <c r="K5" i="2"/>
  <c r="K6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8" i="2"/>
  <c r="K84" i="2"/>
  <c r="K85" i="2"/>
  <c r="K83" i="2"/>
  <c r="K82" i="2"/>
  <c r="K81" i="2"/>
  <c r="K80" i="2"/>
  <c r="K79" i="2"/>
  <c r="K77" i="2"/>
  <c r="K76" i="2"/>
  <c r="K75" i="2"/>
  <c r="A2" i="4" l="1"/>
  <c r="B2" i="4"/>
  <c r="C2" i="4" l="1"/>
  <c r="C3" i="4" l="1"/>
  <c r="E2" i="4"/>
  <c r="D2" i="4"/>
  <c r="B12" i="3" s="1"/>
</calcChain>
</file>

<file path=xl/sharedStrings.xml><?xml version="1.0" encoding="utf-8"?>
<sst xmlns="http://schemas.openxmlformats.org/spreadsheetml/2006/main" count="68" uniqueCount="44">
  <si>
    <t>Ligne</t>
  </si>
  <si>
    <t>Catégorie</t>
  </si>
  <si>
    <t>Module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</si>
  <si>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</si>
  <si>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</si>
  <si>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</si>
  <si>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</si>
  <si>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</si>
  <si>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</si>
  <si>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</si>
  <si>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</si>
  <si>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</si>
  <si>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</si>
  <si>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</si>
  <si>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</si>
  <si>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</si>
  <si>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</si>
  <si>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</si>
  <si>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</si>
  <si>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</si>
  <si>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</si>
  <si>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</si>
  <si>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</si>
  <si>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</si>
  <si>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</si>
  <si>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</si>
  <si>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</si>
  <si>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ETU003254</t>
  </si>
  <si>
    <t>Vicky</t>
  </si>
  <si>
    <t>creation repo</t>
  </si>
  <si>
    <t>global</t>
  </si>
  <si>
    <t>conception minimale de base de donne</t>
  </si>
  <si>
    <t>spring initializr</t>
  </si>
  <si>
    <t>backoffice</t>
  </si>
  <si>
    <t>authentification</t>
  </si>
  <si>
    <t>implementer authservice et jwt</t>
  </si>
  <si>
    <t>metier</t>
  </si>
  <si>
    <t>api rest pour le login</t>
  </si>
  <si>
    <t>login</t>
  </si>
  <si>
    <t>teste du login et inscription sur web</t>
  </si>
  <si>
    <t>web</t>
  </si>
  <si>
    <t>affichage</t>
  </si>
  <si>
    <t>ETU0032542</t>
  </si>
  <si>
    <t>front pour login avec 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</si>
</sst>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7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8"/>
      <color theme="1"/>
      <name val="Liberation Serif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10"/>
      <color theme="4" tint="-0.249977111117893"/>
      <name val="Arial"/>
      <scheme val="minor"/>
    </font>
    <font>
      <i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color theme="1"/>
      <name val="Liberation Serif"/>
      <family val="1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5DCF7"/>
        <bgColor rgb="FF95DC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10" fontId="4" fillId="0" borderId="0" xfId="0" applyNumberFormat="1" applyFont="1"/>
    <xf numFmtId="0" fontId="6" fillId="3" borderId="2" xfId="0" applyFont="1" applyFill="1" applyBorder="1"/>
    <xf numFmtId="0" fontId="7" fillId="0" borderId="0" xfId="0" applyFont="1" applyAlignment="1">
      <alignment horizontal="right"/>
    </xf>
    <xf numFmtId="10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0" fontId="7" fillId="0" borderId="0" xfId="0" applyFont="1"/>
    <xf numFmtId="0" fontId="8" fillId="3" borderId="0" xfId="0" applyFont="1" applyFill="1"/>
    <xf numFmtId="0" fontId="8" fillId="0" borderId="0" xfId="0" applyFont="1"/>
    <xf numFmtId="164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1" xfId="0" applyFont="1" applyBorder="1"/>
    <xf numFmtId="0" fontId="5" fillId="0" borderId="11" xfId="0" applyFont="1" applyBorder="1"/>
    <xf numFmtId="0" fontId="1" fillId="0" borderId="11" xfId="0" applyFont="1" applyBorder="1"/>
    <xf numFmtId="0" fontId="3" fillId="2" borderId="12" xfId="0" applyFont="1" applyFill="1" applyBorder="1"/>
    <xf numFmtId="10" fontId="1" fillId="0" borderId="12" xfId="0" applyNumberFormat="1" applyFont="1" applyBorder="1" applyAlignment="1">
      <alignment horizontal="right"/>
    </xf>
    <xf numFmtId="0" fontId="3" fillId="2" borderId="2" xfId="0" applyFont="1" applyFill="1" applyBorder="1"/>
    <xf numFmtId="0" fontId="4" fillId="2" borderId="0" xfId="0" applyFont="1" applyFill="1"/>
    <xf numFmtId="0" fontId="4" fillId="2" borderId="11" xfId="0" applyFont="1" applyFill="1" applyBorder="1"/>
    <xf numFmtId="0" fontId="5" fillId="2" borderId="11" xfId="0" applyFont="1" applyFill="1" applyBorder="1"/>
    <xf numFmtId="0" fontId="1" fillId="2" borderId="11" xfId="0" applyFont="1" applyFill="1" applyBorder="1"/>
    <xf numFmtId="10" fontId="1" fillId="2" borderId="12" xfId="0" applyNumberFormat="1" applyFont="1" applyFill="1" applyBorder="1" applyAlignment="1">
      <alignment horizontal="right"/>
    </xf>
    <xf numFmtId="0" fontId="10" fillId="0" borderId="0" xfId="0" applyFont="1"/>
    <xf numFmtId="0" fontId="10" fillId="4" borderId="0" xfId="0" applyFont="1" applyFill="1"/>
    <xf numFmtId="0" fontId="11" fillId="5" borderId="13" xfId="0" applyFont="1" applyFill="1" applyBorder="1" applyAlignment="1">
      <alignment wrapText="1"/>
    </xf>
    <xf numFmtId="0" fontId="12" fillId="6" borderId="13" xfId="0" applyFont="1" applyFill="1" applyBorder="1" applyAlignment="1">
      <alignment wrapText="1"/>
    </xf>
    <xf numFmtId="0" fontId="12" fillId="6" borderId="13" xfId="0" applyFont="1" applyFill="1" applyBorder="1" applyAlignment="1">
      <alignment vertical="center"/>
    </xf>
    <xf numFmtId="0" fontId="13" fillId="0" borderId="0" xfId="0" applyFont="1"/>
    <xf numFmtId="0" fontId="13" fillId="7" borderId="14" xfId="0" applyFont="1" applyFill="1" applyBorder="1" applyAlignment="1">
      <alignment wrapText="1"/>
    </xf>
    <xf numFmtId="0" fontId="13" fillId="8" borderId="0" xfId="0" applyFont="1" applyFill="1" applyAlignment="1">
      <alignment horizontal="right" wrapText="1"/>
    </xf>
    <xf numFmtId="0" fontId="14" fillId="5" borderId="0" xfId="0" applyFont="1" applyFill="1" applyAlignment="1">
      <alignment wrapText="1"/>
    </xf>
    <xf numFmtId="0" fontId="14" fillId="5" borderId="0" xfId="0" applyFont="1" applyFill="1" applyAlignment="1">
      <alignment horizontal="right" wrapText="1"/>
    </xf>
    <xf numFmtId="0" fontId="13" fillId="0" borderId="0" xfId="0" applyFont="1" applyAlignment="1">
      <alignment wrapText="1"/>
    </xf>
    <xf numFmtId="0" fontId="14" fillId="9" borderId="0" xfId="0" applyFont="1" applyFill="1" applyAlignment="1">
      <alignment wrapText="1"/>
    </xf>
    <xf numFmtId="10" fontId="14" fillId="9" borderId="0" xfId="0" applyNumberFormat="1" applyFont="1" applyFill="1" applyAlignment="1">
      <alignment horizontal="right" wrapText="1"/>
    </xf>
    <xf numFmtId="0" fontId="15" fillId="0" borderId="11" xfId="0" applyFont="1" applyBorder="1"/>
    <xf numFmtId="16" fontId="0" fillId="0" borderId="0" xfId="0" applyNumberFormat="1"/>
    <xf numFmtId="0" fontId="1" fillId="4" borderId="11" xfId="0" applyFont="1" applyFill="1" applyBorder="1"/>
    <xf numFmtId="0" fontId="4" fillId="0" borderId="15" xfId="0" applyFont="1" applyBorder="1"/>
    <xf numFmtId="0" fontId="10" fillId="0" borderId="15" xfId="0" applyFont="1" applyBorder="1"/>
    <xf numFmtId="14" fontId="0" fillId="0" borderId="0" xfId="0" applyNumberFormat="1"/>
    <xf numFmtId="0" fontId="13" fillId="2" borderId="2" xfId="0" applyFont="1" applyFill="1" applyBorder="1"/>
    <xf numFmtId="0" fontId="15" fillId="2" borderId="11" xfId="0" applyFont="1" applyFill="1" applyBorder="1"/>
    <xf numFmtId="10" fontId="1" fillId="0" borderId="16" xfId="0" applyNumberFormat="1" applyFont="1" applyBorder="1" applyAlignment="1">
      <alignment horizontal="right"/>
    </xf>
    <xf numFmtId="0" fontId="10" fillId="4" borderId="15" xfId="0" applyFont="1" applyFill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7" xfId="0" applyBorder="1"/>
    <xf numFmtId="0" fontId="0" fillId="0" borderId="17" xfId="0" applyNumberFormat="1" applyBorder="1"/>
    <xf numFmtId="0" fontId="0" fillId="0" borderId="2" xfId="0" applyNumberFormat="1" applyBorder="1"/>
    <xf numFmtId="0" fontId="0" fillId="0" borderId="18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Liberation Serif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Liberation Serif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Liberation Serif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iberation Serif"/>
        <scheme val="none"/>
      </font>
      <fill>
        <patternFill patternType="solid">
          <fgColor rgb="FFC9DAF8"/>
          <bgColor rgb="FFC9DAF8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cky" refreshedDate="46136.425645833333" refreshedVersion="8" recordCount="104" xr:uid="{00000000-000A-0000-FFFF-FFFF00000000}">
  <cacheSource type="worksheet">
    <worksheetSource ref="B1:K1026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Taches" numFmtId="0">
      <sharedItems containsBlank="1"/>
    </cacheField>
    <cacheField name="Type" numFmtId="0">
      <sharedItems containsBlank="1"/>
    </cacheField>
    <cacheField name="Qui" numFmtId="0">
      <sharedItems containsBlank="1" count="10">
        <m/>
        <s v="ETU003254"/>
        <s v="Tous" u="1"/>
        <s v="ETU003319" u="1"/>
        <s v="ETU003327" u="1"/>
        <s v="ETU003351" u="1"/>
        <s v="ETU00YYYY" u="1"/>
        <s v="ETU00XXXX" u="1"/>
        <s v="ETU00ZZZZ" u="1"/>
        <s v="ETU00WWWW" u="1"/>
      </sharedItems>
    </cacheField>
    <cacheField name="Estimation" numFmtId="0">
      <sharedItems containsString="0" containsBlank="1" containsNumber="1" containsInteger="1" minValue="2" maxValue="20"/>
    </cacheField>
    <cacheField name="Temps passé" numFmtId="0">
      <sharedItems containsString="0" containsBlank="1" containsNumber="1" containsInteger="1" minValue="0" maxValue="10"/>
    </cacheField>
    <cacheField name="Reste à faire" numFmtId="0">
      <sharedItems containsNonDate="0" containsString="0" containsBlank="1"/>
    </cacheField>
    <cacheField name="Avancement" numFmtId="0">
      <sharedItems containsBlank="1"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m/>
    <m/>
    <m/>
    <m/>
    <m/>
    <x v="0"/>
    <m/>
    <m/>
    <m/>
    <e v="#DIV/0!"/>
  </r>
  <r>
    <m/>
    <m/>
    <m/>
    <s v="creation repo"/>
    <s v="global"/>
    <x v="1"/>
    <n v="2"/>
    <n v="2"/>
    <m/>
    <n v="1"/>
  </r>
  <r>
    <m/>
    <m/>
    <m/>
    <s v="conception minimale de base de donne"/>
    <s v="global"/>
    <x v="1"/>
    <n v="2"/>
    <n v="2"/>
    <m/>
    <n v="1"/>
  </r>
  <r>
    <s v="backoffice"/>
    <m/>
    <m/>
    <s v="spring initializr"/>
    <s v="global"/>
    <x v="1"/>
    <n v="10"/>
    <n v="10"/>
    <m/>
    <n v="1"/>
  </r>
  <r>
    <s v="backoffice"/>
    <s v="authentification"/>
    <m/>
    <s v="implementer authservice et jwt"/>
    <s v="metier"/>
    <x v="1"/>
    <n v="15"/>
    <n v="0"/>
    <m/>
    <e v="#DIV/0!"/>
  </r>
  <r>
    <s v="backoffice"/>
    <s v="authentification"/>
    <m/>
    <s v="api rest pour le login"/>
    <s v="metier"/>
    <x v="1"/>
    <n v="10"/>
    <m/>
    <m/>
    <e v="#DIV/0!"/>
  </r>
  <r>
    <s v="web"/>
    <s v="authentification"/>
    <s v="login"/>
    <s v="teste du login et inscription sur web"/>
    <s v="affichage"/>
    <x v="1"/>
    <n v="10"/>
    <m/>
    <m/>
    <e v="#DIV/0!"/>
  </r>
  <r>
    <s v="mobile"/>
    <s v="authentification"/>
    <s v="login"/>
    <s v="teste du login et inscription sur mobile firebase&amp;firestore"/>
    <s v="affichage"/>
    <x v="1"/>
    <n v="20"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e v="#DIV/0!"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  <r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 2" cacheId="4" applyNumberFormats="0" applyBorderFormats="0" applyFontFormats="0" applyPatternFormats="0" applyAlignmentFormats="0" applyWidthHeightFormats="0" dataCaption="" updatedVersion="8" compact="0" compactData="0">
  <location ref="A1:D5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Taches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11">
        <item n="ETU003254" m="1" x="9"/>
        <item n="ETU0032542" x="1"/>
        <item n="ETU003319" m="1" x="7"/>
        <item n="ETU0033192" m="1" x="3"/>
        <item n="ETU003327" m="1" x="6"/>
        <item n="ETU0033272" m="1" x="4"/>
        <item n="ETU003351" m="1" x="8"/>
        <item n="ETU0033512" m="1" x="5"/>
        <item m="1" x="2"/>
        <item x="0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3">
    <i>
      <x v="1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CD99F-6BD3-42CC-A085-EDB674B4D476}" name="Tableau2" displayName="Tableau2" ref="A1:K85" totalsRowShown="0" headerRowDxfId="10" tableBorderDxfId="9">
  <autoFilter ref="A1:K85" xr:uid="{0BACD99F-6BD3-42CC-A085-EDB674B4D476}"/>
  <tableColumns count="11">
    <tableColumn id="1" xr3:uid="{A40B97F5-90AC-4754-A703-1D1B8DC2F4CD}" name="Ligne" dataDxfId="8"/>
    <tableColumn id="2" xr3:uid="{DAB178E8-EC54-476C-93CA-7049D822F8AD}" name="Catégorie" dataDxfId="7"/>
    <tableColumn id="3" xr3:uid="{2EBC0FF0-C36B-4653-BF48-64AAE1974F58}" name="Module" dataDxfId="6"/>
    <tableColumn id="4" xr3:uid="{C87F79E6-0DA4-4463-B900-9503C4555AD1}" name="Page" dataDxfId="5"/>
    <tableColumn id="5" xr3:uid="{A7004B22-6091-445B-96DC-49E19C6945E9}" name="Taches" dataDxfId="4"/>
    <tableColumn id="6" xr3:uid="{D09F5233-19D8-4032-A43A-3FC9248B1CDF}" name="Type" dataDxfId="3"/>
    <tableColumn id="7" xr3:uid="{8613D3F3-A333-4F88-858A-7D959BDB95AC}" name="Qui" dataDxfId="2"/>
    <tableColumn id="8" xr3:uid="{F2C0F039-50F7-446D-B8FF-898D630C7D19}" name="Estimation" dataDxfId="1"/>
    <tableColumn id="9" xr3:uid="{1A5F74BB-2912-4FD6-B297-6C7C06903DF0}" name="Temps passé"/>
    <tableColumn id="10" xr3:uid="{1C106175-3704-43FA-A289-CCC9F62E80C4}" name="Reste à faire"/>
    <tableColumn id="11" xr3:uid="{7DEFCB23-0143-47D9-8329-A65BD6D97A39}" name="Avancement" dataDxfId="0">
      <calculatedColumnFormula>(I2/(I2+J2))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baseColWidth="10" defaultColWidth="12.6328125" defaultRowHeight="15.75" customHeight="1"/>
  <sheetData>
    <row r="1" spans="1:2" ht="15.75" customHeight="1">
      <c r="A1" s="1" t="s">
        <v>27</v>
      </c>
      <c r="B1" s="1" t="s">
        <v>28</v>
      </c>
    </row>
    <row r="2" spans="1:2" ht="15.75" customHeight="1">
      <c r="A2" s="1"/>
      <c r="B2" s="1"/>
    </row>
    <row r="3" spans="1:2" ht="15.75" customHeight="1">
      <c r="A3" s="1"/>
      <c r="B3" s="1"/>
    </row>
    <row r="4" spans="1:2" ht="15.75" customHeight="1">
      <c r="A4" s="1"/>
      <c r="B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3"/>
  <sheetViews>
    <sheetView tabSelected="1" zoomScale="85" zoomScaleNormal="85" workbookViewId="0">
      <selection activeCell="E2" sqref="E2"/>
    </sheetView>
  </sheetViews>
  <sheetFormatPr baseColWidth="10" defaultColWidth="12.6328125" defaultRowHeight="15.75" customHeight="1"/>
  <cols>
    <col min="1" max="1" width="9.36328125" customWidth="1"/>
    <col min="2" max="2" width="19" customWidth="1"/>
    <col min="3" max="3" width="18" customWidth="1"/>
    <col min="4" max="4" width="27.08984375" bestFit="1" customWidth="1"/>
    <col min="5" max="5" width="73.81640625" bestFit="1" customWidth="1"/>
    <col min="9" max="9" width="14.08984375" customWidth="1"/>
    <col min="10" max="10" width="14" customWidth="1"/>
    <col min="11" max="11" width="13.54296875" customWidth="1"/>
  </cols>
  <sheetData>
    <row r="1" spans="1:11" ht="14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6" t="s">
        <v>10</v>
      </c>
    </row>
    <row r="2" spans="1:11" ht="15.75" customHeight="1">
      <c r="A2" s="29">
        <v>0</v>
      </c>
      <c r="B2" s="30"/>
      <c r="C2" s="31"/>
      <c r="D2" s="53"/>
      <c r="E2" s="54" t="s">
        <v>29</v>
      </c>
      <c r="F2" s="31" t="s">
        <v>30</v>
      </c>
      <c r="G2" s="32" t="s">
        <v>27</v>
      </c>
      <c r="H2" s="32">
        <v>2</v>
      </c>
      <c r="I2" s="28">
        <v>2</v>
      </c>
      <c r="J2" s="28"/>
      <c r="K2" s="33">
        <f t="shared" ref="K2:K32" si="0">(I2/(I2+J2))</f>
        <v>1</v>
      </c>
    </row>
    <row r="3" spans="1:11" ht="15.75" customHeight="1">
      <c r="A3" s="5">
        <v>1</v>
      </c>
      <c r="B3" s="23"/>
      <c r="C3" s="24"/>
      <c r="D3" s="39"/>
      <c r="E3" s="47" t="s">
        <v>31</v>
      </c>
      <c r="F3" s="24" t="s">
        <v>30</v>
      </c>
      <c r="G3" s="25" t="s">
        <v>27</v>
      </c>
      <c r="H3" s="25">
        <v>2</v>
      </c>
      <c r="I3">
        <v>2</v>
      </c>
      <c r="K3" s="27">
        <f t="shared" si="0"/>
        <v>1</v>
      </c>
    </row>
    <row r="4" spans="1:11" ht="15.75" customHeight="1">
      <c r="A4" s="29">
        <v>2</v>
      </c>
      <c r="B4" s="23" t="s">
        <v>33</v>
      </c>
      <c r="C4" s="24"/>
      <c r="D4" s="39"/>
      <c r="E4" s="47" t="s">
        <v>32</v>
      </c>
      <c r="F4" s="24" t="s">
        <v>30</v>
      </c>
      <c r="G4" s="25" t="s">
        <v>27</v>
      </c>
      <c r="H4" s="25">
        <v>10</v>
      </c>
      <c r="I4">
        <v>10</v>
      </c>
      <c r="K4" s="33">
        <f t="shared" si="0"/>
        <v>1</v>
      </c>
    </row>
    <row r="5" spans="1:11" ht="15.75" customHeight="1">
      <c r="A5" s="5">
        <v>3</v>
      </c>
      <c r="B5" s="23" t="s">
        <v>33</v>
      </c>
      <c r="C5" s="24" t="s">
        <v>34</v>
      </c>
      <c r="D5" s="39"/>
      <c r="E5" s="47" t="s">
        <v>35</v>
      </c>
      <c r="F5" s="24" t="s">
        <v>36</v>
      </c>
      <c r="G5" s="25" t="s">
        <v>27</v>
      </c>
      <c r="H5" s="25">
        <v>15</v>
      </c>
      <c r="I5">
        <v>0</v>
      </c>
      <c r="K5" s="27" t="e">
        <f t="shared" si="0"/>
        <v>#DIV/0!</v>
      </c>
    </row>
    <row r="6" spans="1:11" ht="15.75" customHeight="1">
      <c r="A6" s="29">
        <v>4</v>
      </c>
      <c r="B6" s="23" t="s">
        <v>33</v>
      </c>
      <c r="C6" s="24" t="s">
        <v>34</v>
      </c>
      <c r="D6" s="39"/>
      <c r="E6" s="47" t="s">
        <v>37</v>
      </c>
      <c r="F6" s="24" t="s">
        <v>36</v>
      </c>
      <c r="G6" s="25" t="s">
        <v>27</v>
      </c>
      <c r="H6" s="25">
        <v>10</v>
      </c>
      <c r="K6" s="33" t="e">
        <f t="shared" si="0"/>
        <v>#DIV/0!</v>
      </c>
    </row>
    <row r="7" spans="1:11" ht="15.75" customHeight="1">
      <c r="A7" s="29"/>
      <c r="B7" s="23" t="s">
        <v>40</v>
      </c>
      <c r="C7" s="24" t="s">
        <v>34</v>
      </c>
      <c r="D7" s="39" t="s">
        <v>38</v>
      </c>
      <c r="E7" s="47" t="s">
        <v>43</v>
      </c>
      <c r="F7" s="24" t="s">
        <v>41</v>
      </c>
      <c r="G7" s="25"/>
      <c r="H7" s="25"/>
      <c r="K7" s="33" t="e">
        <f>(I7/(I7+J7))</f>
        <v>#DIV/0!</v>
      </c>
    </row>
    <row r="8" spans="1:11" ht="15.75" customHeight="1">
      <c r="A8" s="5">
        <v>5</v>
      </c>
      <c r="B8" s="23" t="s">
        <v>40</v>
      </c>
      <c r="C8" s="24" t="s">
        <v>34</v>
      </c>
      <c r="D8" s="39" t="s">
        <v>38</v>
      </c>
      <c r="E8" s="47" t="s">
        <v>39</v>
      </c>
      <c r="F8" s="24" t="s">
        <v>41</v>
      </c>
      <c r="G8" s="25" t="s">
        <v>27</v>
      </c>
      <c r="H8" s="25">
        <v>10</v>
      </c>
      <c r="K8" s="27" t="e">
        <f t="shared" si="0"/>
        <v>#DIV/0!</v>
      </c>
    </row>
    <row r="9" spans="1:11" ht="15.75" customHeight="1">
      <c r="A9" s="5">
        <v>7</v>
      </c>
      <c r="B9" s="23"/>
      <c r="C9" s="24"/>
      <c r="D9" s="39"/>
      <c r="E9" s="47"/>
      <c r="F9" s="24"/>
      <c r="G9" s="25"/>
      <c r="H9" s="25"/>
      <c r="K9" s="27" t="e">
        <f t="shared" si="0"/>
        <v>#DIV/0!</v>
      </c>
    </row>
    <row r="10" spans="1:11" ht="15.75" customHeight="1">
      <c r="A10" s="29">
        <v>8</v>
      </c>
      <c r="B10" s="23"/>
      <c r="C10" s="24"/>
      <c r="D10" s="39"/>
      <c r="E10" s="47"/>
      <c r="F10" s="24"/>
      <c r="G10" s="25"/>
      <c r="H10" s="25"/>
      <c r="K10" s="33" t="e">
        <f t="shared" si="0"/>
        <v>#DIV/0!</v>
      </c>
    </row>
    <row r="11" spans="1:11" ht="15.75" customHeight="1">
      <c r="A11" s="5">
        <v>9</v>
      </c>
      <c r="B11" s="23"/>
      <c r="C11" s="24"/>
      <c r="D11" s="39"/>
      <c r="E11" s="47"/>
      <c r="F11" s="24"/>
      <c r="G11" s="25"/>
      <c r="H11" s="25"/>
      <c r="K11" s="27" t="e">
        <f t="shared" si="0"/>
        <v>#DIV/0!</v>
      </c>
    </row>
    <row r="12" spans="1:11" ht="15.75" customHeight="1">
      <c r="A12" s="29">
        <v>10</v>
      </c>
      <c r="B12" s="23"/>
      <c r="C12" s="24"/>
      <c r="D12" s="39"/>
      <c r="E12" s="47"/>
      <c r="F12" s="24"/>
      <c r="G12" s="25"/>
      <c r="H12" s="25"/>
      <c r="K12" s="33" t="e">
        <f t="shared" si="0"/>
        <v>#DIV/0!</v>
      </c>
    </row>
    <row r="13" spans="1:11" ht="15.75" customHeight="1">
      <c r="A13" s="5">
        <v>11</v>
      </c>
      <c r="B13" s="23"/>
      <c r="C13" s="24"/>
      <c r="D13" s="39"/>
      <c r="E13" s="47"/>
      <c r="F13" s="24"/>
      <c r="G13" s="25"/>
      <c r="H13" s="25"/>
      <c r="K13" s="27" t="e">
        <f t="shared" si="0"/>
        <v>#DIV/0!</v>
      </c>
    </row>
    <row r="14" spans="1:11" ht="15.75" customHeight="1">
      <c r="A14" s="29">
        <v>12</v>
      </c>
      <c r="B14" s="23"/>
      <c r="C14" s="24"/>
      <c r="D14" s="39"/>
      <c r="E14" s="47"/>
      <c r="F14" s="24"/>
      <c r="G14" s="25"/>
      <c r="H14" s="25"/>
      <c r="K14" s="33" t="e">
        <f t="shared" si="0"/>
        <v>#DIV/0!</v>
      </c>
    </row>
    <row r="15" spans="1:11" ht="15.75" customHeight="1">
      <c r="A15" s="5">
        <v>13</v>
      </c>
      <c r="B15" s="23"/>
      <c r="C15" s="24"/>
      <c r="D15" s="39"/>
      <c r="E15" s="47"/>
      <c r="F15" s="24"/>
      <c r="G15" s="25"/>
      <c r="H15" s="25"/>
      <c r="K15" s="27" t="e">
        <f t="shared" si="0"/>
        <v>#DIV/0!</v>
      </c>
    </row>
    <row r="16" spans="1:11" ht="15.75" customHeight="1">
      <c r="A16" s="29">
        <v>14</v>
      </c>
      <c r="B16" s="23"/>
      <c r="C16" s="24"/>
      <c r="D16" s="39"/>
      <c r="E16" s="47"/>
      <c r="F16" s="24"/>
      <c r="G16" s="25"/>
      <c r="H16" s="25"/>
      <c r="K16" s="33" t="e">
        <f t="shared" si="0"/>
        <v>#DIV/0!</v>
      </c>
    </row>
    <row r="17" spans="1:11" ht="15.75" customHeight="1">
      <c r="A17" s="5">
        <v>15</v>
      </c>
      <c r="B17" s="23"/>
      <c r="C17" s="24"/>
      <c r="D17" s="39"/>
      <c r="E17" s="47"/>
      <c r="F17" s="24"/>
      <c r="G17" s="25"/>
      <c r="H17" s="25"/>
      <c r="K17" s="27" t="e">
        <f t="shared" si="0"/>
        <v>#DIV/0!</v>
      </c>
    </row>
    <row r="18" spans="1:11" ht="15.75" customHeight="1">
      <c r="A18" s="29">
        <v>16</v>
      </c>
      <c r="B18" s="23"/>
      <c r="C18" s="24"/>
      <c r="D18" s="39"/>
      <c r="E18" s="47"/>
      <c r="F18" s="24"/>
      <c r="G18" s="25"/>
      <c r="H18" s="25"/>
      <c r="K18" s="33" t="e">
        <f t="shared" si="0"/>
        <v>#DIV/0!</v>
      </c>
    </row>
    <row r="19" spans="1:11" ht="15.75" customHeight="1">
      <c r="A19" s="5">
        <v>17</v>
      </c>
      <c r="B19" s="23"/>
      <c r="C19" s="24"/>
      <c r="D19" s="39"/>
      <c r="E19" s="47"/>
      <c r="F19" s="24"/>
      <c r="G19" s="25"/>
      <c r="H19" s="25"/>
      <c r="K19" s="27" t="e">
        <f t="shared" si="0"/>
        <v>#DIV/0!</v>
      </c>
    </row>
    <row r="20" spans="1:11" ht="15.75" customHeight="1">
      <c r="A20" s="29">
        <v>18</v>
      </c>
      <c r="B20" s="23"/>
      <c r="C20" s="24"/>
      <c r="D20" s="39"/>
      <c r="E20" s="47"/>
      <c r="F20" s="24"/>
      <c r="G20" s="25"/>
      <c r="H20" s="25"/>
      <c r="K20" s="33" t="e">
        <f t="shared" si="0"/>
        <v>#DIV/0!</v>
      </c>
    </row>
    <row r="21" spans="1:11" ht="15.75" customHeight="1">
      <c r="A21" s="5">
        <v>19</v>
      </c>
      <c r="B21" s="23"/>
      <c r="C21" s="24"/>
      <c r="D21" s="39"/>
      <c r="E21" s="47"/>
      <c r="F21" s="24"/>
      <c r="G21" s="25"/>
      <c r="H21" s="25"/>
      <c r="K21" s="27" t="e">
        <f t="shared" si="0"/>
        <v>#DIV/0!</v>
      </c>
    </row>
    <row r="22" spans="1:11" ht="15.75" customHeight="1">
      <c r="A22" s="29">
        <v>20</v>
      </c>
      <c r="B22" s="23"/>
      <c r="C22" s="24"/>
      <c r="D22" s="39"/>
      <c r="E22" s="47"/>
      <c r="F22" s="24"/>
      <c r="G22" s="25"/>
      <c r="H22" s="25"/>
      <c r="K22" s="33" t="e">
        <f t="shared" si="0"/>
        <v>#DIV/0!</v>
      </c>
    </row>
    <row r="23" spans="1:11" ht="15.75" customHeight="1">
      <c r="A23" s="5">
        <v>21</v>
      </c>
      <c r="B23" s="23"/>
      <c r="C23" s="24"/>
      <c r="D23" s="39"/>
      <c r="E23" s="47"/>
      <c r="F23" s="24"/>
      <c r="G23" s="25"/>
      <c r="H23" s="25"/>
      <c r="K23" s="27" t="e">
        <f t="shared" si="0"/>
        <v>#DIV/0!</v>
      </c>
    </row>
    <row r="24" spans="1:11" ht="15.75" customHeight="1">
      <c r="A24" s="29">
        <v>22</v>
      </c>
      <c r="B24" s="23"/>
      <c r="C24" s="24"/>
      <c r="D24" s="39"/>
      <c r="E24" s="47"/>
      <c r="F24" s="24"/>
      <c r="G24" s="25"/>
      <c r="H24" s="25"/>
      <c r="K24" s="33" t="e">
        <f t="shared" si="0"/>
        <v>#DIV/0!</v>
      </c>
    </row>
    <row r="25" spans="1:11" ht="15.75" customHeight="1">
      <c r="A25" s="5">
        <v>23</v>
      </c>
      <c r="B25" s="23"/>
      <c r="C25" s="24"/>
      <c r="D25" s="39"/>
      <c r="E25" s="47"/>
      <c r="F25" s="24"/>
      <c r="G25" s="25"/>
      <c r="H25" s="25"/>
      <c r="K25" s="27" t="e">
        <f t="shared" si="0"/>
        <v>#DIV/0!</v>
      </c>
    </row>
    <row r="26" spans="1:11" ht="15.75" customHeight="1">
      <c r="A26" s="29">
        <v>24</v>
      </c>
      <c r="B26" s="23"/>
      <c r="C26" s="24"/>
      <c r="D26" s="39"/>
      <c r="E26" s="47"/>
      <c r="F26" s="24"/>
      <c r="G26" s="25"/>
      <c r="H26" s="25"/>
      <c r="K26" s="33" t="e">
        <f t="shared" si="0"/>
        <v>#DIV/0!</v>
      </c>
    </row>
    <row r="27" spans="1:11" ht="15.75" customHeight="1">
      <c r="A27" s="5">
        <v>25</v>
      </c>
      <c r="B27" s="23"/>
      <c r="C27" s="24"/>
      <c r="D27" s="39"/>
      <c r="E27" s="47"/>
      <c r="F27" s="24"/>
      <c r="G27" s="25"/>
      <c r="H27" s="25"/>
      <c r="K27" s="27" t="e">
        <f t="shared" si="0"/>
        <v>#DIV/0!</v>
      </c>
    </row>
    <row r="28" spans="1:11" ht="15.75" customHeight="1">
      <c r="A28" s="29">
        <v>26</v>
      </c>
      <c r="B28" s="23"/>
      <c r="C28" s="24"/>
      <c r="D28" s="39"/>
      <c r="E28" s="47"/>
      <c r="F28" s="24"/>
      <c r="G28" s="25"/>
      <c r="H28" s="25"/>
      <c r="K28" s="33" t="e">
        <f t="shared" si="0"/>
        <v>#DIV/0!</v>
      </c>
    </row>
    <row r="29" spans="1:11" ht="15.75" customHeight="1">
      <c r="A29" s="5">
        <v>27</v>
      </c>
      <c r="B29" s="23"/>
      <c r="C29" s="24"/>
      <c r="D29" s="39"/>
      <c r="E29" s="47"/>
      <c r="F29" s="24"/>
      <c r="G29" s="25"/>
      <c r="H29" s="25"/>
      <c r="K29" s="27" t="e">
        <f t="shared" si="0"/>
        <v>#DIV/0!</v>
      </c>
    </row>
    <row r="30" spans="1:11" ht="15.75" customHeight="1">
      <c r="A30" s="29">
        <v>28</v>
      </c>
      <c r="B30" s="23"/>
      <c r="C30" s="24"/>
      <c r="D30" s="39"/>
      <c r="E30" s="47"/>
      <c r="F30" s="24"/>
      <c r="G30" s="25"/>
      <c r="H30" s="25"/>
      <c r="K30" s="33" t="e">
        <f t="shared" si="0"/>
        <v>#DIV/0!</v>
      </c>
    </row>
    <row r="31" spans="1:11" ht="15.75" customHeight="1">
      <c r="A31" s="5">
        <v>29</v>
      </c>
      <c r="B31" s="23"/>
      <c r="C31" s="24"/>
      <c r="D31" s="39"/>
      <c r="E31" s="47"/>
      <c r="F31" s="24"/>
      <c r="G31" s="25"/>
      <c r="H31" s="25"/>
      <c r="K31" s="27" t="e">
        <f t="shared" si="0"/>
        <v>#DIV/0!</v>
      </c>
    </row>
    <row r="32" spans="1:11" ht="15.75" customHeight="1">
      <c r="A32" s="29">
        <v>30</v>
      </c>
      <c r="B32" s="23"/>
      <c r="C32" s="24"/>
      <c r="D32" s="39"/>
      <c r="E32" s="47"/>
      <c r="F32" s="24"/>
      <c r="G32" s="25"/>
      <c r="H32" s="25"/>
      <c r="K32" s="33" t="e">
        <f t="shared" si="0"/>
        <v>#DIV/0!</v>
      </c>
    </row>
    <row r="33" spans="1:11" ht="15.75" customHeight="1">
      <c r="A33" s="5">
        <v>31</v>
      </c>
      <c r="B33" s="23"/>
      <c r="C33" s="24"/>
      <c r="D33" s="39"/>
      <c r="E33" s="47"/>
      <c r="F33" s="24"/>
      <c r="G33" s="25"/>
      <c r="H33" s="25"/>
      <c r="K33" s="27" t="e">
        <f t="shared" ref="K33:K64" si="1">(I33/(I33+J33))</f>
        <v>#DIV/0!</v>
      </c>
    </row>
    <row r="34" spans="1:11" ht="15.75" customHeight="1">
      <c r="A34" s="29">
        <v>32</v>
      </c>
      <c r="B34" s="23"/>
      <c r="C34" s="24"/>
      <c r="D34" s="39"/>
      <c r="E34" s="47"/>
      <c r="F34" s="24"/>
      <c r="G34" s="25"/>
      <c r="H34" s="25"/>
      <c r="K34" s="33" t="e">
        <f t="shared" si="1"/>
        <v>#DIV/0!</v>
      </c>
    </row>
    <row r="35" spans="1:11" ht="15.75" customHeight="1">
      <c r="A35" s="5">
        <v>33</v>
      </c>
      <c r="B35" s="23"/>
      <c r="C35" s="24"/>
      <c r="D35" s="39"/>
      <c r="E35" s="47"/>
      <c r="F35" s="24"/>
      <c r="G35" s="25"/>
      <c r="H35" s="25"/>
      <c r="K35" s="27" t="e">
        <f t="shared" si="1"/>
        <v>#DIV/0!</v>
      </c>
    </row>
    <row r="36" spans="1:11" ht="15.75" customHeight="1">
      <c r="A36" s="29">
        <v>34</v>
      </c>
      <c r="B36" s="23"/>
      <c r="C36" s="24"/>
      <c r="D36" s="39"/>
      <c r="E36" s="47"/>
      <c r="F36" s="24"/>
      <c r="G36" s="25"/>
      <c r="H36" s="25"/>
      <c r="K36" s="33" t="e">
        <f t="shared" si="1"/>
        <v>#DIV/0!</v>
      </c>
    </row>
    <row r="37" spans="1:11" ht="15.75" customHeight="1">
      <c r="A37" s="5">
        <v>35</v>
      </c>
      <c r="B37" s="23"/>
      <c r="C37" s="24"/>
      <c r="D37" s="39"/>
      <c r="E37" s="47"/>
      <c r="F37" s="24"/>
      <c r="G37" s="25"/>
      <c r="H37" s="25"/>
      <c r="K37" s="27" t="e">
        <f t="shared" si="1"/>
        <v>#DIV/0!</v>
      </c>
    </row>
    <row r="38" spans="1:11" ht="15.75" customHeight="1">
      <c r="A38" s="29">
        <v>36</v>
      </c>
      <c r="B38" s="23"/>
      <c r="C38" s="24"/>
      <c r="D38" s="39"/>
      <c r="E38" s="47"/>
      <c r="F38" s="24"/>
      <c r="G38" s="25"/>
      <c r="H38" s="25"/>
      <c r="K38" s="33" t="e">
        <f t="shared" si="1"/>
        <v>#DIV/0!</v>
      </c>
    </row>
    <row r="39" spans="1:11" ht="15.75" customHeight="1">
      <c r="A39" s="5">
        <v>37</v>
      </c>
      <c r="B39" s="23"/>
      <c r="C39" s="24"/>
      <c r="D39" s="39"/>
      <c r="E39" s="47"/>
      <c r="F39" s="24"/>
      <c r="G39" s="25"/>
      <c r="H39" s="25"/>
      <c r="K39" s="27" t="e">
        <f t="shared" si="1"/>
        <v>#DIV/0!</v>
      </c>
    </row>
    <row r="40" spans="1:11" ht="15.75" customHeight="1">
      <c r="A40" s="29">
        <v>38</v>
      </c>
      <c r="B40" s="23"/>
      <c r="C40" s="24"/>
      <c r="D40" s="39"/>
      <c r="E40" s="47"/>
      <c r="F40" s="24"/>
      <c r="G40" s="25"/>
      <c r="H40" s="25"/>
      <c r="K40" s="33" t="e">
        <f t="shared" si="1"/>
        <v>#DIV/0!</v>
      </c>
    </row>
    <row r="41" spans="1:11" ht="15.75" customHeight="1">
      <c r="A41" s="5">
        <v>39</v>
      </c>
      <c r="B41" s="23"/>
      <c r="C41" s="24"/>
      <c r="D41" s="39"/>
      <c r="E41" s="47"/>
      <c r="F41" s="24"/>
      <c r="G41" s="25"/>
      <c r="H41" s="25"/>
      <c r="K41" s="27" t="e">
        <f t="shared" si="1"/>
        <v>#DIV/0!</v>
      </c>
    </row>
    <row r="42" spans="1:11" ht="15.75" customHeight="1">
      <c r="A42" s="29">
        <v>40</v>
      </c>
      <c r="B42" s="23"/>
      <c r="C42" s="24"/>
      <c r="D42" s="39"/>
      <c r="E42" s="47"/>
      <c r="F42" s="24"/>
      <c r="G42" s="25"/>
      <c r="H42" s="25"/>
      <c r="K42" s="33" t="e">
        <f t="shared" si="1"/>
        <v>#DIV/0!</v>
      </c>
    </row>
    <row r="43" spans="1:11" ht="15.75" customHeight="1">
      <c r="A43" s="5">
        <v>41</v>
      </c>
      <c r="B43" s="23"/>
      <c r="C43" s="24"/>
      <c r="D43" s="39"/>
      <c r="E43" s="47"/>
      <c r="F43" s="24"/>
      <c r="G43" s="25"/>
      <c r="H43" s="25"/>
      <c r="K43" s="27" t="e">
        <f t="shared" si="1"/>
        <v>#DIV/0!</v>
      </c>
    </row>
    <row r="44" spans="1:11" ht="15.75" customHeight="1">
      <c r="A44" s="29">
        <v>42</v>
      </c>
      <c r="B44" s="23"/>
      <c r="C44" s="24"/>
      <c r="D44" s="39"/>
      <c r="E44" s="47"/>
      <c r="F44" s="24"/>
      <c r="G44" s="25"/>
      <c r="H44" s="25"/>
      <c r="K44" s="33" t="e">
        <f t="shared" si="1"/>
        <v>#DIV/0!</v>
      </c>
    </row>
    <row r="45" spans="1:11" ht="15.75" customHeight="1">
      <c r="A45" s="5">
        <v>43</v>
      </c>
      <c r="B45" s="23"/>
      <c r="C45" s="24"/>
      <c r="D45" s="39"/>
      <c r="E45" s="47"/>
      <c r="F45" s="24"/>
      <c r="G45" s="25"/>
      <c r="H45" s="25"/>
      <c r="K45" s="27" t="e">
        <f t="shared" si="1"/>
        <v>#DIV/0!</v>
      </c>
    </row>
    <row r="46" spans="1:11" ht="15.75" customHeight="1">
      <c r="A46" s="29">
        <v>44</v>
      </c>
      <c r="B46" s="23"/>
      <c r="C46" s="24"/>
      <c r="D46" s="39"/>
      <c r="E46" s="47"/>
      <c r="F46" s="24"/>
      <c r="G46" s="25"/>
      <c r="H46" s="25"/>
      <c r="K46" s="33" t="e">
        <f t="shared" si="1"/>
        <v>#DIV/0!</v>
      </c>
    </row>
    <row r="47" spans="1:11" ht="15.75" customHeight="1">
      <c r="A47" s="5">
        <v>45</v>
      </c>
      <c r="B47" s="23"/>
      <c r="C47" s="24"/>
      <c r="D47" s="39"/>
      <c r="E47" s="47"/>
      <c r="F47" s="24"/>
      <c r="G47" s="25"/>
      <c r="H47" s="25"/>
      <c r="K47" s="27" t="e">
        <f t="shared" si="1"/>
        <v>#DIV/0!</v>
      </c>
    </row>
    <row r="48" spans="1:11" ht="15.75" customHeight="1">
      <c r="A48" s="29">
        <v>46</v>
      </c>
      <c r="B48" s="23"/>
      <c r="C48" s="24"/>
      <c r="D48" s="39"/>
      <c r="E48" s="47"/>
      <c r="F48" s="24"/>
      <c r="G48" s="25"/>
      <c r="H48" s="25"/>
      <c r="K48" s="33" t="e">
        <f t="shared" si="1"/>
        <v>#DIV/0!</v>
      </c>
    </row>
    <row r="49" spans="1:11" ht="16" customHeight="1">
      <c r="A49" s="5">
        <v>47</v>
      </c>
      <c r="B49" s="23"/>
      <c r="C49" s="24"/>
      <c r="D49" s="39"/>
      <c r="E49" s="47"/>
      <c r="F49" s="24"/>
      <c r="G49" s="25"/>
      <c r="H49" s="25"/>
      <c r="K49" s="27" t="e">
        <f t="shared" si="1"/>
        <v>#DIV/0!</v>
      </c>
    </row>
    <row r="50" spans="1:11" ht="16" customHeight="1">
      <c r="A50" s="29">
        <v>48</v>
      </c>
      <c r="B50" s="23"/>
      <c r="C50" s="24"/>
      <c r="D50" s="39"/>
      <c r="E50" s="47"/>
      <c r="F50" s="24"/>
      <c r="G50" s="25"/>
      <c r="H50" s="25"/>
      <c r="K50" s="33" t="e">
        <f t="shared" si="1"/>
        <v>#DIV/0!</v>
      </c>
    </row>
    <row r="51" spans="1:11" ht="16" customHeight="1">
      <c r="A51" s="5">
        <v>49</v>
      </c>
      <c r="B51" s="23"/>
      <c r="C51" s="24"/>
      <c r="D51" s="39"/>
      <c r="E51" s="47"/>
      <c r="F51" s="24"/>
      <c r="G51" s="25"/>
      <c r="H51" s="25"/>
      <c r="K51" s="27" t="e">
        <f t="shared" si="1"/>
        <v>#DIV/0!</v>
      </c>
    </row>
    <row r="52" spans="1:11" ht="16" customHeight="1">
      <c r="A52" s="29">
        <v>50</v>
      </c>
      <c r="B52" s="23"/>
      <c r="C52" s="24"/>
      <c r="D52" s="39"/>
      <c r="E52" s="47"/>
      <c r="F52" s="24"/>
      <c r="G52" s="25"/>
      <c r="H52" s="25"/>
      <c r="K52" s="33" t="e">
        <f t="shared" si="1"/>
        <v>#DIV/0!</v>
      </c>
    </row>
    <row r="53" spans="1:11" ht="16" customHeight="1">
      <c r="A53" s="5">
        <v>51</v>
      </c>
      <c r="B53" s="23"/>
      <c r="C53" s="24"/>
      <c r="D53" s="39"/>
      <c r="E53" s="47"/>
      <c r="F53" s="24"/>
      <c r="G53" s="25"/>
      <c r="H53" s="25"/>
      <c r="K53" s="27" t="e">
        <f t="shared" si="1"/>
        <v>#DIV/0!</v>
      </c>
    </row>
    <row r="54" spans="1:11" ht="16" customHeight="1">
      <c r="A54" s="29">
        <v>52</v>
      </c>
      <c r="B54" s="23"/>
      <c r="C54" s="24"/>
      <c r="D54" s="39"/>
      <c r="E54" s="47"/>
      <c r="F54" s="24"/>
      <c r="G54" s="25"/>
      <c r="H54" s="25"/>
      <c r="K54" s="33" t="e">
        <f t="shared" si="1"/>
        <v>#DIV/0!</v>
      </c>
    </row>
    <row r="55" spans="1:11" ht="16" customHeight="1">
      <c r="A55" s="5">
        <v>53</v>
      </c>
      <c r="B55" s="23"/>
      <c r="C55" s="24"/>
      <c r="D55" s="39"/>
      <c r="E55" s="47"/>
      <c r="F55" s="24"/>
      <c r="G55" s="25"/>
      <c r="H55" s="25"/>
      <c r="K55" s="27" t="e">
        <f t="shared" si="1"/>
        <v>#DIV/0!</v>
      </c>
    </row>
    <row r="56" spans="1:11" ht="16" customHeight="1">
      <c r="A56" s="29">
        <v>54</v>
      </c>
      <c r="B56" s="23"/>
      <c r="C56" s="24"/>
      <c r="D56" s="39"/>
      <c r="E56" s="47"/>
      <c r="F56" s="24"/>
      <c r="G56" s="25"/>
      <c r="H56" s="25"/>
      <c r="K56" s="33" t="e">
        <f t="shared" si="1"/>
        <v>#DIV/0!</v>
      </c>
    </row>
    <row r="57" spans="1:11" ht="16" customHeight="1">
      <c r="A57" s="5">
        <v>55</v>
      </c>
      <c r="B57" s="23"/>
      <c r="C57" s="24"/>
      <c r="D57" s="39"/>
      <c r="E57" s="47"/>
      <c r="F57" s="24"/>
      <c r="G57" s="25"/>
      <c r="H57" s="25"/>
      <c r="K57" s="27" t="e">
        <f t="shared" si="1"/>
        <v>#DIV/0!</v>
      </c>
    </row>
    <row r="58" spans="1:11" ht="16" customHeight="1">
      <c r="A58" s="29">
        <v>56</v>
      </c>
      <c r="B58" s="23"/>
      <c r="C58" s="24"/>
      <c r="D58" s="39"/>
      <c r="E58" s="47"/>
      <c r="F58" s="24"/>
      <c r="G58" s="25"/>
      <c r="H58" s="25"/>
      <c r="K58" s="33" t="e">
        <f t="shared" si="1"/>
        <v>#DIV/0!</v>
      </c>
    </row>
    <row r="59" spans="1:11" ht="16" customHeight="1">
      <c r="A59" s="5">
        <v>57</v>
      </c>
      <c r="B59" s="23"/>
      <c r="C59" s="24"/>
      <c r="D59" s="39"/>
      <c r="E59" s="47"/>
      <c r="F59" s="24"/>
      <c r="G59" s="25"/>
      <c r="H59" s="25"/>
      <c r="K59" s="27" t="e">
        <f t="shared" si="1"/>
        <v>#DIV/0!</v>
      </c>
    </row>
    <row r="60" spans="1:11" ht="16" customHeight="1">
      <c r="A60" s="29">
        <v>58</v>
      </c>
      <c r="B60" s="23"/>
      <c r="C60" s="24"/>
      <c r="D60" s="39"/>
      <c r="E60" s="47"/>
      <c r="F60" s="24"/>
      <c r="G60" s="25"/>
      <c r="H60" s="25"/>
      <c r="K60" s="33" t="e">
        <f t="shared" si="1"/>
        <v>#DIV/0!</v>
      </c>
    </row>
    <row r="61" spans="1:11" ht="16" customHeight="1">
      <c r="A61" s="5">
        <v>59</v>
      </c>
      <c r="B61" s="23"/>
      <c r="C61" s="24"/>
      <c r="D61" s="39"/>
      <c r="E61" s="47"/>
      <c r="F61" s="24"/>
      <c r="G61" s="25"/>
      <c r="H61" s="25"/>
      <c r="K61" s="27" t="e">
        <f t="shared" si="1"/>
        <v>#DIV/0!</v>
      </c>
    </row>
    <row r="62" spans="1:11" ht="16" customHeight="1">
      <c r="A62" s="29">
        <v>60</v>
      </c>
      <c r="B62" s="23"/>
      <c r="C62" s="24"/>
      <c r="D62" s="39"/>
      <c r="E62" s="47"/>
      <c r="F62" s="24"/>
      <c r="G62" s="25"/>
      <c r="H62" s="25"/>
      <c r="K62" s="33" t="e">
        <f t="shared" si="1"/>
        <v>#DIV/0!</v>
      </c>
    </row>
    <row r="63" spans="1:11" ht="16" customHeight="1">
      <c r="A63" s="5">
        <v>61</v>
      </c>
      <c r="B63" s="23"/>
      <c r="C63" s="24"/>
      <c r="D63" s="39"/>
      <c r="E63" s="47"/>
      <c r="F63" s="24"/>
      <c r="G63" s="25"/>
      <c r="H63" s="25"/>
      <c r="K63" s="27" t="e">
        <f t="shared" si="1"/>
        <v>#DIV/0!</v>
      </c>
    </row>
    <row r="64" spans="1:11" ht="16" customHeight="1">
      <c r="A64" s="29">
        <v>62</v>
      </c>
      <c r="B64" s="23"/>
      <c r="C64" s="24"/>
      <c r="D64" s="39"/>
      <c r="E64" s="47"/>
      <c r="F64" s="24"/>
      <c r="G64" s="25"/>
      <c r="H64" s="25"/>
      <c r="K64" s="33" t="e">
        <f t="shared" si="1"/>
        <v>#DIV/0!</v>
      </c>
    </row>
    <row r="65" spans="1:11" ht="16" customHeight="1">
      <c r="A65" s="5">
        <v>63</v>
      </c>
      <c r="B65" s="23"/>
      <c r="C65" s="24"/>
      <c r="D65" s="39"/>
      <c r="E65" s="47"/>
      <c r="F65" s="24"/>
      <c r="G65" s="25"/>
      <c r="H65" s="25"/>
      <c r="K65" s="27" t="e">
        <f t="shared" ref="K65:K85" si="2">(I65/(I65+J65))</f>
        <v>#DIV/0!</v>
      </c>
    </row>
    <row r="66" spans="1:11" ht="16" customHeight="1">
      <c r="A66" s="29">
        <v>64</v>
      </c>
      <c r="B66" s="23"/>
      <c r="C66" s="24"/>
      <c r="D66" s="39"/>
      <c r="E66" s="47"/>
      <c r="F66" s="24"/>
      <c r="G66" s="25"/>
      <c r="H66" s="25"/>
      <c r="K66" s="33" t="e">
        <f t="shared" si="2"/>
        <v>#DIV/0!</v>
      </c>
    </row>
    <row r="67" spans="1:11" ht="16" customHeight="1">
      <c r="A67" s="5">
        <v>65</v>
      </c>
      <c r="B67" s="23"/>
      <c r="C67" s="24"/>
      <c r="D67" s="39"/>
      <c r="E67" s="47"/>
      <c r="F67" s="24"/>
      <c r="G67" s="25"/>
      <c r="H67" s="25"/>
      <c r="K67" s="27" t="e">
        <f t="shared" si="2"/>
        <v>#DIV/0!</v>
      </c>
    </row>
    <row r="68" spans="1:11" ht="16" customHeight="1">
      <c r="A68" s="5">
        <v>66</v>
      </c>
      <c r="B68" s="23"/>
      <c r="C68" s="24"/>
      <c r="D68" s="39"/>
      <c r="E68" s="47"/>
      <c r="F68" s="24"/>
      <c r="G68" s="25"/>
      <c r="H68" s="25"/>
      <c r="I68" s="25"/>
      <c r="K68" s="27" t="e">
        <f t="shared" si="2"/>
        <v>#DIV/0!</v>
      </c>
    </row>
    <row r="69" spans="1:11" ht="16" customHeight="1">
      <c r="A69" s="29">
        <v>67</v>
      </c>
      <c r="B69" s="23"/>
      <c r="C69" s="24"/>
      <c r="D69" s="39"/>
      <c r="E69" s="47"/>
      <c r="F69" s="24"/>
      <c r="G69" s="25"/>
      <c r="H69" s="25"/>
      <c r="I69" s="25"/>
      <c r="K69" s="27" t="e">
        <f t="shared" si="2"/>
        <v>#DIV/0!</v>
      </c>
    </row>
    <row r="70" spans="1:11" ht="16" customHeight="1">
      <c r="A70" s="5">
        <v>68</v>
      </c>
      <c r="B70" s="23"/>
      <c r="C70" s="24"/>
      <c r="D70" s="39"/>
      <c r="E70" s="47"/>
      <c r="F70" s="24"/>
      <c r="G70" s="25"/>
      <c r="H70" s="25"/>
      <c r="I70" s="25"/>
      <c r="K70" s="27" t="e">
        <f t="shared" si="2"/>
        <v>#DIV/0!</v>
      </c>
    </row>
    <row r="71" spans="1:11" ht="16" customHeight="1">
      <c r="A71" s="5">
        <v>69</v>
      </c>
      <c r="B71" s="23"/>
      <c r="C71" s="24"/>
      <c r="D71" s="39"/>
      <c r="E71" s="47"/>
      <c r="F71" s="24"/>
      <c r="G71" s="25"/>
      <c r="H71" s="25"/>
      <c r="I71" s="25"/>
      <c r="K71" s="27" t="e">
        <f t="shared" si="2"/>
        <v>#DIV/0!</v>
      </c>
    </row>
    <row r="72" spans="1:11" ht="16" customHeight="1">
      <c r="A72" s="29">
        <v>70</v>
      </c>
      <c r="B72" s="23"/>
      <c r="C72" s="24"/>
      <c r="D72" s="39"/>
      <c r="E72" s="47"/>
      <c r="F72" s="24"/>
      <c r="G72" s="25"/>
      <c r="H72" s="25"/>
      <c r="I72" s="25"/>
      <c r="K72" s="27" t="e">
        <f t="shared" si="2"/>
        <v>#DIV/0!</v>
      </c>
    </row>
    <row r="73" spans="1:11" ht="16" customHeight="1">
      <c r="A73" s="5">
        <v>71</v>
      </c>
      <c r="B73" s="23"/>
      <c r="C73" s="24"/>
      <c r="D73" s="39"/>
      <c r="E73" s="47"/>
      <c r="F73" s="24"/>
      <c r="G73" s="25"/>
      <c r="H73" s="25"/>
      <c r="I73" s="25"/>
      <c r="K73" s="27" t="e">
        <f t="shared" si="2"/>
        <v>#DIV/0!</v>
      </c>
    </row>
    <row r="74" spans="1:11" ht="16" customHeight="1">
      <c r="A74" s="5">
        <v>72</v>
      </c>
      <c r="B74" s="23"/>
      <c r="C74" s="24"/>
      <c r="D74" s="39"/>
      <c r="E74" s="47"/>
      <c r="F74" s="24"/>
      <c r="G74" s="25"/>
      <c r="H74" s="25"/>
      <c r="I74" s="25"/>
      <c r="K74" s="27" t="e">
        <f t="shared" si="2"/>
        <v>#DIV/0!</v>
      </c>
    </row>
    <row r="75" spans="1:11" ht="16" customHeight="1">
      <c r="A75" s="29">
        <v>73</v>
      </c>
      <c r="B75" s="23"/>
      <c r="C75" s="24"/>
      <c r="D75" s="39"/>
      <c r="E75" s="47"/>
      <c r="F75" s="24"/>
      <c r="G75" s="25"/>
      <c r="H75" s="25"/>
      <c r="I75" s="25"/>
      <c r="K75" s="27" t="e">
        <f t="shared" si="2"/>
        <v>#DIV/0!</v>
      </c>
    </row>
    <row r="76" spans="1:11" ht="16" customHeight="1">
      <c r="A76" s="5">
        <v>74</v>
      </c>
      <c r="B76" s="23"/>
      <c r="C76" s="24"/>
      <c r="D76" s="39"/>
      <c r="E76" s="47"/>
      <c r="F76" s="24"/>
      <c r="G76" s="25"/>
      <c r="H76" s="25"/>
      <c r="I76" s="25"/>
      <c r="K76" s="27" t="e">
        <f t="shared" si="2"/>
        <v>#DIV/0!</v>
      </c>
    </row>
    <row r="77" spans="1:11" ht="16" customHeight="1">
      <c r="A77" s="5">
        <v>75</v>
      </c>
      <c r="B77" s="23"/>
      <c r="C77" s="24"/>
      <c r="D77" s="39"/>
      <c r="E77" s="47"/>
      <c r="F77" s="24"/>
      <c r="G77" s="25"/>
      <c r="H77" s="25"/>
      <c r="I77" s="25"/>
      <c r="K77" s="27" t="e">
        <f t="shared" si="2"/>
        <v>#DIV/0!</v>
      </c>
    </row>
    <row r="78" spans="1:11" ht="16" customHeight="1">
      <c r="A78" s="29">
        <v>76</v>
      </c>
      <c r="B78" s="23"/>
      <c r="C78" s="24"/>
      <c r="D78" s="39"/>
      <c r="E78" s="47"/>
      <c r="F78" s="24"/>
      <c r="G78" s="25"/>
      <c r="H78" s="25"/>
      <c r="I78" s="25"/>
      <c r="K78" s="27" t="e">
        <f t="shared" si="2"/>
        <v>#DIV/0!</v>
      </c>
    </row>
    <row r="79" spans="1:11" ht="16" customHeight="1">
      <c r="A79" s="5">
        <v>77</v>
      </c>
      <c r="B79" s="23"/>
      <c r="C79" s="24"/>
      <c r="D79" s="39"/>
      <c r="E79" s="47"/>
      <c r="F79" s="24"/>
      <c r="G79" s="25"/>
      <c r="H79" s="25"/>
      <c r="I79" s="25"/>
      <c r="K79" s="27" t="e">
        <f t="shared" si="2"/>
        <v>#DIV/0!</v>
      </c>
    </row>
    <row r="80" spans="1:11" ht="16" customHeight="1">
      <c r="A80" s="5">
        <v>78</v>
      </c>
      <c r="B80" s="23"/>
      <c r="C80" s="24"/>
      <c r="D80" s="39"/>
      <c r="E80" s="47"/>
      <c r="F80" s="24"/>
      <c r="G80" s="25"/>
      <c r="H80" s="25"/>
      <c r="I80" s="25"/>
      <c r="K80" s="27" t="e">
        <f t="shared" si="2"/>
        <v>#DIV/0!</v>
      </c>
    </row>
    <row r="81" spans="1:11" ht="16" customHeight="1">
      <c r="A81" s="29">
        <v>79</v>
      </c>
      <c r="B81" s="23"/>
      <c r="C81" s="24"/>
      <c r="D81" s="39"/>
      <c r="E81" s="47"/>
      <c r="F81" s="24"/>
      <c r="G81" s="25"/>
      <c r="H81" s="25"/>
      <c r="I81" s="25"/>
      <c r="K81" s="27" t="e">
        <f t="shared" si="2"/>
        <v>#DIV/0!</v>
      </c>
    </row>
    <row r="82" spans="1:11" ht="16" customHeight="1">
      <c r="A82" s="5">
        <v>80</v>
      </c>
      <c r="B82" s="23"/>
      <c r="C82" s="24"/>
      <c r="D82" s="39"/>
      <c r="E82" s="47"/>
      <c r="F82" s="24"/>
      <c r="G82" s="25"/>
      <c r="H82" s="25"/>
      <c r="I82" s="25"/>
      <c r="K82" s="27" t="e">
        <f t="shared" si="2"/>
        <v>#DIV/0!</v>
      </c>
    </row>
    <row r="83" spans="1:11" ht="16" customHeight="1">
      <c r="A83" s="5">
        <v>81</v>
      </c>
      <c r="B83" s="23"/>
      <c r="C83" s="24"/>
      <c r="D83" s="39"/>
      <c r="E83" s="47"/>
      <c r="F83" s="24"/>
      <c r="G83" s="25"/>
      <c r="H83" s="25"/>
      <c r="I83" s="25"/>
      <c r="K83" s="27" t="e">
        <f t="shared" si="2"/>
        <v>#DIV/0!</v>
      </c>
    </row>
    <row r="84" spans="1:11" ht="16" customHeight="1">
      <c r="A84" s="29">
        <v>82</v>
      </c>
      <c r="B84" s="23"/>
      <c r="C84" s="24"/>
      <c r="D84" s="39"/>
      <c r="E84" s="47"/>
      <c r="F84" s="24"/>
      <c r="G84" s="25"/>
      <c r="H84" s="25"/>
      <c r="I84" s="25"/>
      <c r="K84" s="55" t="e">
        <f t="shared" si="2"/>
        <v>#DIV/0!</v>
      </c>
    </row>
    <row r="85" spans="1:11" ht="15.75" customHeight="1">
      <c r="A85" s="5">
        <v>83</v>
      </c>
      <c r="B85" s="23"/>
      <c r="C85" s="24"/>
      <c r="D85" s="39"/>
      <c r="E85" s="47"/>
      <c r="F85" s="24"/>
      <c r="G85" s="25"/>
      <c r="H85" s="25"/>
      <c r="K85" s="27" t="e">
        <f t="shared" si="2"/>
        <v>#DIV/0!</v>
      </c>
    </row>
    <row r="86" spans="1:11" ht="15.75" customHeight="1">
      <c r="A86" s="5"/>
      <c r="G86" s="25"/>
    </row>
    <row r="87" spans="1:11" ht="15.75" customHeight="1">
      <c r="A87" s="5"/>
      <c r="G87" s="25"/>
    </row>
    <row r="88" spans="1:11" ht="15.75" customHeight="1">
      <c r="A88" s="5"/>
      <c r="G88" s="25"/>
    </row>
    <row r="89" spans="1:11" ht="15.75" customHeight="1">
      <c r="A89" s="5"/>
      <c r="G89" s="25"/>
    </row>
    <row r="90" spans="1:11" ht="15.75" customHeight="1">
      <c r="A90" s="5"/>
      <c r="G90" s="25"/>
    </row>
    <row r="91" spans="1:11" ht="15.75" customHeight="1">
      <c r="A91" s="5"/>
      <c r="G91" s="25"/>
    </row>
    <row r="92" spans="1:11" ht="15.75" customHeight="1">
      <c r="A92" s="5"/>
      <c r="G92" s="25"/>
    </row>
    <row r="93" spans="1:11" ht="15.75" customHeight="1">
      <c r="A93" s="5"/>
      <c r="G93" s="25"/>
    </row>
    <row r="94" spans="1:11" ht="15.75" customHeight="1">
      <c r="A94" s="5"/>
      <c r="G94" s="25"/>
    </row>
    <row r="95" spans="1:11" ht="15.75" customHeight="1">
      <c r="A95" s="5"/>
      <c r="G95" s="25"/>
    </row>
    <row r="96" spans="1:11" ht="15.75" customHeight="1">
      <c r="A96" s="5"/>
      <c r="G96" s="25"/>
    </row>
    <row r="97" spans="1:7" ht="15.75" customHeight="1">
      <c r="A97" s="5"/>
      <c r="G97" s="25"/>
    </row>
    <row r="98" spans="1:7" ht="15.75" customHeight="1">
      <c r="A98" s="5"/>
      <c r="G98" s="25"/>
    </row>
    <row r="99" spans="1:7" ht="15.75" customHeight="1">
      <c r="A99" s="5"/>
      <c r="G99" s="25"/>
    </row>
    <row r="100" spans="1:7" ht="15.75" customHeight="1">
      <c r="A100" s="5"/>
      <c r="G100" s="25"/>
    </row>
    <row r="101" spans="1:7" ht="15.75" customHeight="1">
      <c r="A101" s="5"/>
      <c r="G101" s="25"/>
    </row>
    <row r="102" spans="1:7" ht="15.75" customHeight="1">
      <c r="A102" s="5"/>
      <c r="G102" s="25"/>
    </row>
    <row r="103" spans="1:7" ht="15.75" customHeight="1">
      <c r="A103" s="5"/>
      <c r="G103" s="25"/>
    </row>
  </sheetData>
  <phoneticPr fontId="1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>
      <selection activeCell="A3" sqref="A3"/>
    </sheetView>
  </sheetViews>
  <sheetFormatPr baseColWidth="10" defaultColWidth="12.6328125" defaultRowHeight="15.75" customHeight="1"/>
  <cols>
    <col min="2" max="2" width="12.6328125" customWidth="1"/>
  </cols>
  <sheetData>
    <row r="1" spans="1:4" ht="15.75" customHeight="1">
      <c r="A1" s="16"/>
      <c r="B1" s="17" t="s">
        <v>22</v>
      </c>
      <c r="C1" s="18"/>
      <c r="D1" s="19"/>
    </row>
    <row r="2" spans="1:4" ht="15.75" customHeight="1">
      <c r="A2" s="17" t="s">
        <v>6</v>
      </c>
      <c r="B2" s="16" t="s">
        <v>23</v>
      </c>
      <c r="C2" s="20" t="s">
        <v>24</v>
      </c>
      <c r="D2" s="21" t="s">
        <v>25</v>
      </c>
    </row>
    <row r="3" spans="1:4" ht="15.75" customHeight="1">
      <c r="A3" s="16" t="s">
        <v>42</v>
      </c>
      <c r="B3" s="57">
        <v>69</v>
      </c>
      <c r="C3" s="58">
        <v>14</v>
      </c>
      <c r="D3" s="59"/>
    </row>
    <row r="4" spans="1:4" ht="15.75" customHeight="1">
      <c r="A4" s="60" t="s">
        <v>26</v>
      </c>
      <c r="B4" s="61"/>
      <c r="C4" s="62"/>
      <c r="D4" s="63"/>
    </row>
    <row r="5" spans="1:4" ht="15.75" customHeight="1">
      <c r="A5" s="22" t="s">
        <v>14</v>
      </c>
      <c r="B5" s="64">
        <v>69</v>
      </c>
      <c r="C5" s="65">
        <v>14</v>
      </c>
      <c r="D5" s="66"/>
    </row>
    <row r="12" spans="1:4" ht="15.75" customHeight="1">
      <c r="A12" s="5" t="s">
        <v>10</v>
      </c>
      <c r="B12" s="6">
        <f>avancement!D2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>
      <selection activeCell="D2" sqref="D2"/>
    </sheetView>
  </sheetViews>
  <sheetFormatPr baseColWidth="10" defaultColWidth="12.6328125" defaultRowHeight="15.75" customHeight="1"/>
  <cols>
    <col min="1" max="1" width="15.7265625" customWidth="1"/>
    <col min="2" max="2" width="17.90625" customWidth="1"/>
    <col min="3" max="3" width="17" customWidth="1"/>
    <col min="4" max="4" width="18.26953125" customWidth="1"/>
    <col min="5" max="5" width="13.7265625" customWidth="1"/>
  </cols>
  <sheetData>
    <row r="1" spans="1:5" ht="15.75" customHeight="1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</row>
    <row r="2" spans="1:5" ht="15.75" customHeight="1">
      <c r="A2" s="8">
        <f>SUM('liste des taches'!H:H)</f>
        <v>49</v>
      </c>
      <c r="B2" s="8">
        <f>SUM('liste des taches'!I:I)</f>
        <v>14</v>
      </c>
      <c r="C2" s="8">
        <f>SUM('liste des taches'!J:J)</f>
        <v>0</v>
      </c>
      <c r="D2" s="9">
        <f>(B2/(B2+C2))</f>
        <v>1</v>
      </c>
      <c r="E2" s="10">
        <f>((B2+C2)-A2)/A2</f>
        <v>-0.7142857142857143</v>
      </c>
    </row>
    <row r="3" spans="1:5" ht="15.75" customHeight="1">
      <c r="A3" s="11"/>
      <c r="B3" s="11"/>
      <c r="C3" s="8">
        <f>C2/60</f>
        <v>0</v>
      </c>
      <c r="D3" s="11" t="s">
        <v>20</v>
      </c>
      <c r="E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2"/>
  <sheetViews>
    <sheetView topLeftCell="A85" workbookViewId="0">
      <selection activeCell="H93" sqref="H93"/>
    </sheetView>
  </sheetViews>
  <sheetFormatPr baseColWidth="10" defaultColWidth="12.6328125" defaultRowHeight="15.75" customHeight="1"/>
  <sheetData>
    <row r="1" spans="1:9" ht="15.75" customHeight="1">
      <c r="A1" s="12" t="s">
        <v>0</v>
      </c>
      <c r="B1" s="13" t="s">
        <v>21</v>
      </c>
      <c r="C1" s="14">
        <v>46048</v>
      </c>
      <c r="D1" s="14">
        <v>46049</v>
      </c>
      <c r="E1" s="14">
        <v>46050</v>
      </c>
      <c r="F1" s="48">
        <v>46055</v>
      </c>
      <c r="G1" s="48">
        <v>46056</v>
      </c>
      <c r="H1" s="52">
        <v>46061</v>
      </c>
      <c r="I1" s="48">
        <v>46063</v>
      </c>
    </row>
    <row r="2" spans="1:9" ht="15.75" customHeight="1">
      <c r="A2" s="29">
        <v>0</v>
      </c>
      <c r="B2" s="8"/>
      <c r="C2" s="11"/>
      <c r="D2" s="15"/>
      <c r="E2" s="11"/>
    </row>
    <row r="3" spans="1:9" ht="15.75" customHeight="1">
      <c r="A3" s="5">
        <v>1</v>
      </c>
      <c r="B3" s="8"/>
      <c r="C3" s="11"/>
      <c r="D3" s="34"/>
      <c r="E3" s="11"/>
    </row>
    <row r="4" spans="1:9" ht="15.75" customHeight="1">
      <c r="A4" s="29">
        <v>2</v>
      </c>
      <c r="B4" s="8"/>
      <c r="C4" s="15"/>
      <c r="D4" s="35"/>
      <c r="E4" s="11"/>
    </row>
    <row r="5" spans="1:9" ht="15.75" customHeight="1">
      <c r="A5" s="5">
        <v>3</v>
      </c>
      <c r="B5" s="8"/>
      <c r="C5" s="11"/>
      <c r="D5" s="34"/>
      <c r="E5" s="11"/>
    </row>
    <row r="6" spans="1:9" ht="15.75" customHeight="1">
      <c r="A6" s="29">
        <v>4</v>
      </c>
      <c r="B6" s="8"/>
      <c r="C6" s="11"/>
      <c r="D6" s="35"/>
      <c r="E6" s="11"/>
    </row>
    <row r="7" spans="1:9" ht="15.75" customHeight="1">
      <c r="A7" s="5">
        <v>5</v>
      </c>
      <c r="B7" s="8"/>
      <c r="C7" s="11"/>
      <c r="D7" s="34"/>
      <c r="E7" s="11"/>
    </row>
    <row r="8" spans="1:9" ht="15.75" customHeight="1">
      <c r="A8" s="29">
        <v>6</v>
      </c>
      <c r="B8" s="8"/>
      <c r="C8" s="11"/>
      <c r="D8" s="35"/>
      <c r="E8" s="11"/>
    </row>
    <row r="9" spans="1:9" ht="15.75" customHeight="1">
      <c r="A9" s="5">
        <v>7</v>
      </c>
      <c r="B9" s="8"/>
      <c r="D9" s="34"/>
    </row>
    <row r="10" spans="1:9" ht="15.75" customHeight="1">
      <c r="A10" s="29">
        <v>8</v>
      </c>
      <c r="B10" s="8"/>
      <c r="D10" s="35"/>
    </row>
    <row r="11" spans="1:9" ht="15.75" customHeight="1">
      <c r="A11" s="5">
        <v>9</v>
      </c>
      <c r="B11" s="8"/>
      <c r="D11" s="34"/>
    </row>
    <row r="12" spans="1:9" ht="15.75" customHeight="1">
      <c r="A12" s="29">
        <v>10</v>
      </c>
      <c r="B12" s="8"/>
      <c r="D12" s="35"/>
    </row>
    <row r="13" spans="1:9" ht="15.75" customHeight="1">
      <c r="A13" s="5">
        <v>11</v>
      </c>
      <c r="B13" s="8"/>
      <c r="D13" s="34"/>
    </row>
    <row r="14" spans="1:9" ht="15.75" customHeight="1">
      <c r="A14" s="29">
        <v>12</v>
      </c>
      <c r="B14" s="8"/>
      <c r="D14" s="35"/>
    </row>
    <row r="15" spans="1:9" ht="15.75" customHeight="1">
      <c r="A15" s="5">
        <v>13</v>
      </c>
      <c r="B15" s="8"/>
      <c r="D15" s="34"/>
    </row>
    <row r="16" spans="1:9" ht="15.75" customHeight="1">
      <c r="A16" s="29">
        <v>14</v>
      </c>
      <c r="B16" s="8"/>
      <c r="D16" s="35"/>
    </row>
    <row r="17" spans="1:4" ht="15.75" customHeight="1">
      <c r="A17" s="5">
        <v>15</v>
      </c>
      <c r="B17" s="8"/>
      <c r="D17" s="34"/>
    </row>
    <row r="18" spans="1:4" ht="15.75" customHeight="1">
      <c r="A18" s="29">
        <v>16</v>
      </c>
      <c r="B18" s="8"/>
      <c r="D18" s="35"/>
    </row>
    <row r="19" spans="1:4" ht="15.75" customHeight="1">
      <c r="A19" s="5">
        <v>17</v>
      </c>
      <c r="B19" s="8"/>
      <c r="D19" s="34"/>
    </row>
    <row r="20" spans="1:4" ht="15.75" customHeight="1">
      <c r="A20" s="29">
        <v>18</v>
      </c>
      <c r="B20" s="8"/>
      <c r="D20" s="35"/>
    </row>
    <row r="21" spans="1:4" ht="15.75" customHeight="1">
      <c r="A21" s="5">
        <v>19</v>
      </c>
      <c r="B21" s="8"/>
      <c r="D21" s="34"/>
    </row>
    <row r="22" spans="1:4" ht="15.75" customHeight="1">
      <c r="A22" s="29">
        <v>20</v>
      </c>
      <c r="B22" s="8"/>
      <c r="D22" s="35"/>
    </row>
    <row r="23" spans="1:4" ht="15.75" customHeight="1">
      <c r="A23" s="5">
        <v>21</v>
      </c>
      <c r="B23" s="8"/>
      <c r="D23" s="34"/>
    </row>
    <row r="24" spans="1:4" ht="15.75" customHeight="1">
      <c r="A24" s="29">
        <v>22</v>
      </c>
      <c r="B24" s="8"/>
      <c r="D24" s="35"/>
    </row>
    <row r="25" spans="1:4" ht="15.75" customHeight="1">
      <c r="A25" s="5">
        <v>23</v>
      </c>
      <c r="B25" s="8"/>
      <c r="D25" s="34"/>
    </row>
    <row r="26" spans="1:4" ht="15.75" customHeight="1">
      <c r="A26" s="29">
        <v>24</v>
      </c>
      <c r="B26" s="8"/>
      <c r="D26" s="35"/>
    </row>
    <row r="27" spans="1:4" ht="15.75" customHeight="1">
      <c r="A27" s="5">
        <v>25</v>
      </c>
      <c r="B27" s="8"/>
      <c r="D27" s="34"/>
    </row>
    <row r="28" spans="1:4" ht="15.75" customHeight="1">
      <c r="A28" s="29">
        <v>26</v>
      </c>
      <c r="B28" s="8"/>
      <c r="D28" s="35"/>
    </row>
    <row r="29" spans="1:4" ht="15.75" customHeight="1">
      <c r="A29" s="5">
        <v>27</v>
      </c>
      <c r="B29" s="8"/>
      <c r="D29" s="34"/>
    </row>
    <row r="30" spans="1:4" ht="15.75" customHeight="1">
      <c r="A30" s="29">
        <v>28</v>
      </c>
      <c r="B30" s="8"/>
      <c r="D30" s="35"/>
    </row>
    <row r="31" spans="1:4" ht="15.75" customHeight="1">
      <c r="A31" s="5">
        <v>29</v>
      </c>
      <c r="B31" s="8"/>
      <c r="D31" s="34"/>
    </row>
    <row r="32" spans="1:4" ht="15.75" customHeight="1">
      <c r="A32" s="29">
        <v>30</v>
      </c>
      <c r="B32" s="8"/>
      <c r="D32" s="35"/>
    </row>
    <row r="33" spans="1:6" ht="15.75" customHeight="1">
      <c r="A33" s="5">
        <v>31</v>
      </c>
      <c r="B33" s="8"/>
      <c r="D33" s="34"/>
    </row>
    <row r="34" spans="1:6" ht="15.75" customHeight="1">
      <c r="A34" s="29">
        <v>32</v>
      </c>
      <c r="B34" s="8"/>
      <c r="D34" s="35"/>
    </row>
    <row r="35" spans="1:6" ht="15.75" customHeight="1">
      <c r="A35" s="5">
        <v>33</v>
      </c>
      <c r="B35" s="8"/>
      <c r="D35" s="34"/>
    </row>
    <row r="36" spans="1:6" ht="15.75" customHeight="1">
      <c r="A36" s="29">
        <v>34</v>
      </c>
      <c r="B36" s="8"/>
      <c r="D36" s="35"/>
    </row>
    <row r="37" spans="1:6" ht="15.75" customHeight="1">
      <c r="A37" s="5">
        <v>35</v>
      </c>
      <c r="B37" s="8"/>
      <c r="F37" s="25"/>
    </row>
    <row r="38" spans="1:6" ht="15.75" customHeight="1">
      <c r="A38" s="29">
        <v>36</v>
      </c>
      <c r="B38" s="8"/>
      <c r="F38" s="49"/>
    </row>
    <row r="39" spans="1:6" ht="15.75" customHeight="1">
      <c r="A39" s="5">
        <v>37</v>
      </c>
      <c r="B39" s="8"/>
      <c r="F39" s="25"/>
    </row>
    <row r="40" spans="1:6" ht="15.75" customHeight="1">
      <c r="A40" s="29">
        <v>38</v>
      </c>
      <c r="B40" s="8"/>
      <c r="F40" s="49"/>
    </row>
    <row r="41" spans="1:6" ht="15.75" customHeight="1">
      <c r="A41" s="5">
        <v>39</v>
      </c>
      <c r="B41" s="8"/>
      <c r="F41" s="25"/>
    </row>
    <row r="42" spans="1:6" ht="15.75" customHeight="1">
      <c r="A42" s="29">
        <v>40</v>
      </c>
      <c r="B42" s="8"/>
      <c r="F42" s="49"/>
    </row>
    <row r="43" spans="1:6" ht="15.75" customHeight="1">
      <c r="A43" s="5">
        <v>41</v>
      </c>
      <c r="B43" s="8"/>
      <c r="F43" s="25"/>
    </row>
    <row r="44" spans="1:6" ht="15.75" customHeight="1">
      <c r="A44" s="29">
        <v>42</v>
      </c>
      <c r="B44" s="8"/>
      <c r="F44" s="49"/>
    </row>
    <row r="45" spans="1:6" ht="15.75" customHeight="1">
      <c r="A45" s="5">
        <v>43</v>
      </c>
      <c r="B45" s="8"/>
      <c r="F45" s="25"/>
    </row>
    <row r="46" spans="1:6" ht="15.75" customHeight="1">
      <c r="A46" s="29">
        <v>44</v>
      </c>
      <c r="B46" s="8"/>
      <c r="F46" s="49"/>
    </row>
    <row r="47" spans="1:6" ht="15.75" customHeight="1">
      <c r="A47" s="5">
        <v>45</v>
      </c>
      <c r="B47" s="8"/>
    </row>
    <row r="48" spans="1:6" ht="15.75" customHeight="1">
      <c r="A48" s="29">
        <v>46</v>
      </c>
      <c r="B48" s="8"/>
    </row>
    <row r="49" spans="1:8" ht="15.75" customHeight="1">
      <c r="A49" s="5">
        <v>47</v>
      </c>
      <c r="B49" s="8"/>
      <c r="D49" s="35"/>
    </row>
    <row r="50" spans="1:8" ht="15.75" customHeight="1">
      <c r="A50" s="29">
        <v>48</v>
      </c>
      <c r="B50" s="8"/>
      <c r="D50" s="34"/>
    </row>
    <row r="51" spans="1:8" ht="15.75" customHeight="1">
      <c r="A51" s="5">
        <v>49</v>
      </c>
      <c r="B51" s="8"/>
      <c r="D51" s="35"/>
    </row>
    <row r="52" spans="1:8" ht="15.75" customHeight="1">
      <c r="A52" s="29">
        <v>50</v>
      </c>
      <c r="B52" s="8"/>
      <c r="H52" s="49"/>
    </row>
    <row r="53" spans="1:8" ht="15.75" customHeight="1">
      <c r="A53" s="5">
        <v>51</v>
      </c>
      <c r="B53" s="8"/>
      <c r="H53" s="25"/>
    </row>
    <row r="54" spans="1:8" ht="15.75" customHeight="1">
      <c r="A54" s="29">
        <v>52</v>
      </c>
      <c r="B54" s="8"/>
      <c r="H54" s="35"/>
    </row>
    <row r="55" spans="1:8" ht="15.75" customHeight="1">
      <c r="A55" s="5">
        <v>53</v>
      </c>
      <c r="B55" s="8"/>
      <c r="H55" s="34"/>
    </row>
    <row r="56" spans="1:8" ht="15.75" customHeight="1">
      <c r="A56" s="29">
        <v>54</v>
      </c>
      <c r="B56" s="8"/>
      <c r="H56" s="35"/>
    </row>
    <row r="57" spans="1:8" ht="15.75" customHeight="1">
      <c r="A57" s="5">
        <v>55</v>
      </c>
      <c r="B57" s="8"/>
    </row>
    <row r="58" spans="1:8" ht="15.75" customHeight="1">
      <c r="A58" s="29">
        <v>56</v>
      </c>
      <c r="B58" s="8"/>
    </row>
    <row r="59" spans="1:8" ht="15.75" customHeight="1">
      <c r="A59" s="5">
        <v>57</v>
      </c>
      <c r="B59" s="8"/>
    </row>
    <row r="60" spans="1:8" ht="15.75" customHeight="1">
      <c r="A60" s="29">
        <v>58</v>
      </c>
      <c r="B60" s="8"/>
    </row>
    <row r="61" spans="1:8" ht="15.75" customHeight="1">
      <c r="A61" s="5">
        <v>59</v>
      </c>
      <c r="B61" s="8"/>
      <c r="H61" s="35"/>
    </row>
    <row r="62" spans="1:8" ht="15.75" customHeight="1">
      <c r="A62" s="29">
        <v>60</v>
      </c>
      <c r="B62" s="8"/>
      <c r="H62" s="34"/>
    </row>
    <row r="63" spans="1:8" ht="15.75" customHeight="1">
      <c r="A63" s="5">
        <v>61</v>
      </c>
      <c r="B63" s="8"/>
      <c r="H63" s="35"/>
    </row>
    <row r="64" spans="1:8" ht="15.75" customHeight="1">
      <c r="A64" s="29">
        <v>62</v>
      </c>
      <c r="B64" s="8"/>
      <c r="H64" s="34"/>
    </row>
    <row r="65" spans="1:9" ht="15.75" customHeight="1">
      <c r="A65" s="5">
        <v>63</v>
      </c>
      <c r="B65" s="8"/>
      <c r="H65" s="35"/>
    </row>
    <row r="66" spans="1:9" ht="15.75" customHeight="1">
      <c r="A66" s="29">
        <v>64</v>
      </c>
      <c r="B66" s="8"/>
      <c r="H66" s="35"/>
    </row>
    <row r="67" spans="1:9" ht="15.75" customHeight="1">
      <c r="A67" s="50">
        <v>65</v>
      </c>
      <c r="B67" s="8"/>
      <c r="H67" s="34"/>
    </row>
    <row r="68" spans="1:9" ht="15.75" customHeight="1">
      <c r="A68" s="5">
        <v>66</v>
      </c>
      <c r="B68" s="8"/>
      <c r="H68" s="35"/>
    </row>
    <row r="69" spans="1:9" ht="15.75" customHeight="1">
      <c r="A69" s="29">
        <v>67</v>
      </c>
      <c r="B69" s="8"/>
      <c r="H69" s="51"/>
    </row>
    <row r="70" spans="1:9" ht="15.75" customHeight="1">
      <c r="A70" s="29">
        <v>68</v>
      </c>
      <c r="B70" s="8"/>
      <c r="I70" s="49"/>
    </row>
    <row r="71" spans="1:9" ht="15.75" customHeight="1">
      <c r="A71" s="50">
        <v>69</v>
      </c>
      <c r="B71" s="8"/>
      <c r="I71" s="25"/>
    </row>
    <row r="72" spans="1:9" ht="15.75" customHeight="1">
      <c r="A72" s="5">
        <v>70</v>
      </c>
      <c r="B72" s="8"/>
      <c r="I72" s="49"/>
    </row>
    <row r="73" spans="1:9" ht="15.75" customHeight="1">
      <c r="A73" s="29">
        <v>71</v>
      </c>
      <c r="B73" s="8"/>
      <c r="I73" s="25"/>
    </row>
    <row r="74" spans="1:9" ht="15.75" customHeight="1">
      <c r="A74" s="29">
        <v>72</v>
      </c>
      <c r="B74" s="8"/>
      <c r="I74" s="49"/>
    </row>
    <row r="75" spans="1:9" ht="15.75" customHeight="1">
      <c r="A75" s="50">
        <v>73</v>
      </c>
      <c r="B75" s="8"/>
      <c r="I75" s="25"/>
    </row>
    <row r="76" spans="1:9" ht="15.75" customHeight="1">
      <c r="A76" s="5">
        <v>74</v>
      </c>
      <c r="B76" s="8"/>
      <c r="I76" s="49"/>
    </row>
    <row r="77" spans="1:9" ht="15.75" customHeight="1">
      <c r="A77" s="29">
        <v>75</v>
      </c>
      <c r="B77" s="8"/>
      <c r="I77" s="25"/>
    </row>
    <row r="78" spans="1:9" ht="15.75" customHeight="1">
      <c r="A78" s="29">
        <v>76</v>
      </c>
      <c r="B78" s="8"/>
      <c r="I78" s="49"/>
    </row>
    <row r="79" spans="1:9" ht="15.75" customHeight="1">
      <c r="A79" s="50">
        <v>77</v>
      </c>
      <c r="B79" s="8"/>
      <c r="I79" s="25"/>
    </row>
    <row r="80" spans="1:9" ht="15.75" customHeight="1">
      <c r="A80" s="5">
        <v>78</v>
      </c>
      <c r="B80" s="8"/>
      <c r="I80" s="49"/>
    </row>
    <row r="81" spans="1:9" ht="15.75" customHeight="1">
      <c r="A81" s="29">
        <v>79</v>
      </c>
      <c r="B81" s="8"/>
      <c r="I81" s="25"/>
    </row>
    <row r="82" spans="1:9" ht="15.75" customHeight="1">
      <c r="A82" s="29">
        <v>80</v>
      </c>
      <c r="B82" s="8"/>
      <c r="I82" s="49"/>
    </row>
    <row r="83" spans="1:9" ht="15.75" customHeight="1">
      <c r="A83" s="50">
        <v>81</v>
      </c>
      <c r="B83" s="8"/>
      <c r="I83" s="25"/>
    </row>
    <row r="84" spans="1:9" ht="15.75" customHeight="1">
      <c r="A84" s="5">
        <v>82</v>
      </c>
      <c r="B84" s="8"/>
      <c r="I84" s="49"/>
    </row>
    <row r="85" spans="1:9" ht="15.75" customHeight="1">
      <c r="A85" s="29">
        <v>83</v>
      </c>
      <c r="B85" s="8"/>
      <c r="I85" s="25"/>
    </row>
    <row r="86" spans="1:9" ht="15.75" customHeight="1">
      <c r="A86" s="29">
        <v>84</v>
      </c>
      <c r="B86" s="8"/>
      <c r="I86" s="49"/>
    </row>
    <row r="87" spans="1:9" ht="15.75" customHeight="1">
      <c r="A87" s="50">
        <v>85</v>
      </c>
      <c r="B87" s="8"/>
      <c r="I87" s="25"/>
    </row>
    <row r="88" spans="1:9" ht="15.75" customHeight="1">
      <c r="A88" s="5">
        <v>86</v>
      </c>
      <c r="B88" s="8"/>
      <c r="I88" s="56"/>
    </row>
    <row r="89" spans="1:9" ht="15.75" customHeight="1">
      <c r="A89" s="29">
        <v>87</v>
      </c>
      <c r="B89" s="8"/>
    </row>
    <row r="90" spans="1:9" ht="15.75" customHeight="1">
      <c r="A90" s="29">
        <v>88</v>
      </c>
      <c r="B90" s="8"/>
    </row>
    <row r="91" spans="1:9" ht="15.75" customHeight="1">
      <c r="A91" s="50">
        <v>89</v>
      </c>
      <c r="B91" s="8"/>
    </row>
    <row r="92" spans="1:9" ht="15.75" customHeight="1">
      <c r="A92" s="5">
        <v>90</v>
      </c>
      <c r="B92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43A2-442C-476A-BD4D-BED9D8F97487}">
  <dimension ref="A1:D8"/>
  <sheetViews>
    <sheetView workbookViewId="0">
      <selection activeCell="D2" sqref="D2"/>
    </sheetView>
  </sheetViews>
  <sheetFormatPr baseColWidth="10" defaultRowHeight="12.5"/>
  <cols>
    <col min="1" max="1" width="15.54296875" customWidth="1"/>
    <col min="3" max="3" width="16.54296875" customWidth="1"/>
    <col min="4" max="4" width="14.26953125" customWidth="1"/>
  </cols>
  <sheetData>
    <row r="1" spans="1:4" ht="15" customHeight="1" thickBot="1">
      <c r="A1" s="36" t="s">
        <v>6</v>
      </c>
      <c r="B1" s="37" t="s">
        <v>11</v>
      </c>
      <c r="C1" s="37" t="s">
        <v>12</v>
      </c>
      <c r="D1" s="38" t="s">
        <v>13</v>
      </c>
    </row>
    <row r="2" spans="1:4" ht="13" thickTop="1">
      <c r="A2" s="40" t="s">
        <v>27</v>
      </c>
      <c r="B2" s="41">
        <v>35</v>
      </c>
      <c r="C2" s="41">
        <v>30</v>
      </c>
      <c r="D2" s="41">
        <v>30</v>
      </c>
    </row>
    <row r="3" spans="1:4" ht="13">
      <c r="A3" s="42" t="s">
        <v>14</v>
      </c>
      <c r="B3" s="43">
        <v>185</v>
      </c>
      <c r="C3" s="43">
        <v>160</v>
      </c>
      <c r="D3" s="43">
        <v>130</v>
      </c>
    </row>
    <row r="4" spans="1:4">
      <c r="A4" s="44"/>
      <c r="B4" s="44"/>
      <c r="C4" s="44"/>
      <c r="D4" s="44"/>
    </row>
    <row r="5" spans="1:4">
      <c r="A5" s="44"/>
      <c r="B5" s="44"/>
      <c r="C5" s="44"/>
      <c r="D5" s="44"/>
    </row>
    <row r="6" spans="1:4">
      <c r="A6" s="44"/>
      <c r="B6" s="44"/>
      <c r="C6" s="44"/>
      <c r="D6" s="44"/>
    </row>
    <row r="7" spans="1:4">
      <c r="A7" s="44"/>
      <c r="B7" s="44"/>
      <c r="C7" s="44"/>
      <c r="D7" s="44"/>
    </row>
    <row r="8" spans="1:4" ht="13">
      <c r="A8" s="45" t="s">
        <v>10</v>
      </c>
      <c r="B8" s="46">
        <v>0.55169999999999997</v>
      </c>
      <c r="C8" s="44"/>
      <c r="D8" s="44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groupe</vt:lpstr>
      <vt:lpstr>liste des taches</vt:lpstr>
      <vt:lpstr>Tableau croisé dynamique 2</vt:lpstr>
      <vt:lpstr>avancement</vt:lpstr>
      <vt:lpstr>detail_avancement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Vicky</cp:lastModifiedBy>
  <dcterms:modified xsi:type="dcterms:W3CDTF">2026-04-24T08:35:40Z</dcterms:modified>
</cp:coreProperties>
</file>